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17a5bc966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 Responses" sheetId="1" r:id="Ra169579a1693487c"/>
    <x:sheet xmlns:r="http://schemas.openxmlformats.org/officeDocument/2006/relationships" name="Interaction Log" sheetId="2" r:id="R0e8a4646d5ea453e"/>
    <x:sheet xmlns:r="http://schemas.openxmlformats.org/officeDocument/2006/relationships" name="Analysis" sheetId="3" r:id="R88654cf25d9a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000000"/>
    <x:numFmt numFmtId="202" formatCode="yyyy-mm-dd hh:mm:ss"/>
    <x:numFmt numFmtId="203" formatCode="0"/>
    <x:numFmt numFmtId="204" formatCode="0.0"/>
  </x:numFmts>
  <x:fonts count="4">
    <x:font>
      <x:sz val="11"/>
      <x:name val="Carlito"/>
    </x:font>
    <x:font>
      <x:b/>
      <x:sz val="18"/>
      <x:color rgb="FFF9FAFB"/>
      <x:name val="Carlito"/>
    </x:font>
    <x:font>
      <x:i/>
      <x:sz val="11"/>
      <x:color rgb="FF92400E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D4AF37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4" fontId="0" fillId="0" borderId="6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6f3d1f5744ebe" /><Relationship Type="http://schemas.openxmlformats.org/officeDocument/2006/relationships/theme" Target="/xl/theme/theme1.xml" Id="R825ff4502fd14bce" /><Relationship Type="http://schemas.openxmlformats.org/officeDocument/2006/relationships/sharedStrings" Target="/xl/sharedStrings.xml" Id="R62aef60e02e44907" /><Relationship Type="http://schemas.openxmlformats.org/officeDocument/2006/relationships/worksheet" Target="/xl/worksheets/sheet1.xml" Id="Ra169579a1693487c" /><Relationship Type="http://schemas.openxmlformats.org/officeDocument/2006/relationships/worksheet" Target="/xl/worksheets/sheet2.xml" Id="R0e8a4646d5ea453e" /><Relationship Type="http://schemas.openxmlformats.org/officeDocument/2006/relationships/worksheet" Target="/xl/worksheets/sheet3.xml" Id="R88654cf25d9a4a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f9cf8da15547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Rating distribution updates with real responses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'Analysis'!$D$4:$D$8</c:f>
              <c:strCache>
                <c:ptCount val="0"/>
              </c:strCache>
            </c:strRef>
          </c:cat>
          <c:val>
            <c:numRef>
              <c:f>'Analysis'!$E$4:$E$8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f9cf8da155477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dee7425512a47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5" hidden="0" customWidth="1"/>
    <x:col min="3" max="3" width="21.110000610351562" hidden="0" customWidth="1"/>
    <x:col min="4" max="4" width="27.219999313354492" hidden="0" customWidth="1"/>
    <x:col min="5" max="5" width="10.5600004196167" hidden="0" customWidth="1"/>
    <x:col min="6" max="6" width="14.4399995803833" hidden="0" customWidth="1"/>
    <x:col min="7" max="7" width="24.440000534057617" hidden="0" customWidth="1"/>
    <x:col min="8" max="8" width="26.670000076293945" hidden="0" customWidth="1"/>
    <x:col min="9" max="9" width="23.329999923706055" hidden="0" customWidth="1"/>
    <x:col min="10" max="10" width="10" hidden="0" customWidth="1"/>
    <x:col min="11" max="11" width="27.780000686645508" hidden="0" customWidth="1"/>
    <x:col min="12" max="12" width="32.220001220703125" hidden="0" customWidth="1"/>
  </x:cols>
  <x:sheetData>
    <x:row r="1" ht="32" customHeight="1">
      <x:c r="A1" s="3" t="str">
        <x:v>AI Wallet Manager — Level 5 User Feedback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Google Forms was intentionally skipped. Import or enter only consented, genuine participant responses below.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11" t="str">
        <x:v>Timestamp UTC</x:v>
      </x:c>
      <x:c r="B4" s="12" t="str">
        <x:v>Name</x:v>
      </x:c>
      <x:c r="C4" s="12" t="str">
        <x:v>Email</x:v>
      </x:c>
      <x:c r="D4" s="12" t="str">
        <x:v>Wallet Address</x:v>
      </x:c>
      <x:c r="E4" s="12" t="str">
        <x:v>Rating (1–5)</x:v>
      </x:c>
      <x:c r="F4" s="12" t="str">
        <x:v>Product Area</x:v>
      </x:c>
      <x:c r="G4" s="12" t="str">
        <x:v>What Worked</x:v>
      </x:c>
      <x:c r="H4" s="12" t="str">
        <x:v>What Needs Improvement</x:v>
      </x:c>
      <x:c r="I4" s="12" t="str">
        <x:v>Requested Feature</x:v>
      </x:c>
      <x:c r="J4" s="12" t="str">
        <x:v>Consent</x:v>
      </x:c>
      <x:c r="K4" s="12" t="str">
        <x:v>Transaction Hash</x:v>
      </x:c>
      <x:c r="L4" s="13" t="str">
        <x:v>Evidence URL</x:v>
      </x:c>
    </x:row>
    <x:row r="5">
      <x:c r="A5" s="38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2"/>
    </x:row>
    <x:row r="6">
      <x:c r="A6" s="38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2"/>
    </x:row>
    <x:row r="7">
      <x:c r="A7" s="38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2"/>
    </x:row>
    <x:row r="8">
      <x:c r="A8" s="38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2"/>
    </x:row>
    <x:row r="9">
      <x:c r="A9" s="38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2"/>
    </x:row>
    <x:row r="10">
      <x:c r="A10" s="38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2"/>
    </x:row>
    <x:row r="11">
      <x:c r="A11" s="38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2"/>
    </x:row>
    <x:row r="12">
      <x:c r="A12" s="38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2"/>
    </x:row>
    <x:row r="13">
      <x:c r="A13" s="38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2"/>
    </x:row>
    <x:row r="14">
      <x:c r="A14" s="38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2"/>
    </x:row>
    <x:row r="15">
      <x:c r="A15" s="38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2"/>
    </x:row>
    <x:row r="16">
      <x:c r="A16" s="38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2"/>
    </x:row>
    <x:row r="17">
      <x:c r="A17" s="38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2"/>
    </x:row>
    <x:row r="18">
      <x:c r="A18" s="38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2"/>
    </x:row>
    <x:row r="19">
      <x:c r="A19" s="38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2"/>
    </x:row>
    <x:row r="20">
      <x:c r="A20" s="38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2"/>
    </x:row>
    <x:row r="21">
      <x:c r="A21" s="38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2"/>
    </x:row>
    <x:row r="22">
      <x:c r="A22" s="38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2"/>
    </x:row>
    <x:row r="23">
      <x:c r="A23" s="38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2"/>
    </x:row>
    <x:row r="24">
      <x:c r="A24" s="38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2"/>
    </x:row>
    <x:row r="25">
      <x:c r="A25" s="38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2"/>
    </x:row>
    <x:row r="26">
      <x:c r="A26" s="38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2"/>
    </x:row>
    <x:row r="27">
      <x:c r="A27" s="38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2"/>
    </x:row>
    <x:row r="28">
      <x:c r="A28" s="38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2"/>
    </x:row>
    <x:row r="29">
      <x:c r="A29" s="38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2"/>
    </x:row>
    <x:row r="30">
      <x:c r="A30" s="38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2"/>
    </x:row>
    <x:row r="31">
      <x:c r="A31" s="38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2"/>
    </x:row>
    <x:row r="32">
      <x:c r="A32" s="38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2"/>
    </x:row>
    <x:row r="33">
      <x:c r="A33" s="38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2"/>
    </x:row>
    <x:row r="34">
      <x:c r="A34" s="38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2"/>
    </x:row>
    <x:row r="35">
      <x:c r="A35" s="38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2"/>
    </x:row>
    <x:row r="36">
      <x:c r="A36" s="38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2"/>
    </x:row>
    <x:row r="37">
      <x:c r="A37" s="38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2"/>
    </x:row>
    <x:row r="38">
      <x:c r="A38" s="38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2"/>
    </x:row>
    <x:row r="39">
      <x:c r="A39" s="38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2"/>
    </x:row>
    <x:row r="40">
      <x:c r="A40" s="38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2"/>
    </x:row>
    <x:row r="41">
      <x:c r="A41" s="38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2"/>
    </x:row>
    <x:row r="42">
      <x:c r="A42" s="38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2"/>
    </x:row>
    <x:row r="43">
      <x:c r="A43" s="38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2"/>
    </x:row>
    <x:row r="44">
      <x:c r="A44" s="38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2"/>
    </x:row>
    <x:row r="45">
      <x:c r="A45" s="38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2"/>
    </x:row>
    <x:row r="46">
      <x:c r="A46" s="38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2"/>
    </x:row>
    <x:row r="47">
      <x:c r="A47" s="38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2"/>
    </x:row>
    <x:row r="48">
      <x:c r="A48" s="38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2"/>
    </x:row>
    <x:row r="49">
      <x:c r="A49" s="38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2"/>
    </x:row>
    <x:row r="50">
      <x:c r="A50" s="38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2"/>
    </x:row>
    <x:row r="51">
      <x:c r="A51" s="38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2"/>
    </x:row>
    <x:row r="52">
      <x:c r="A52" s="38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2"/>
    </x:row>
    <x:row r="53">
      <x:c r="A53" s="38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2"/>
    </x:row>
    <x:row r="54">
      <x:c r="A54" s="39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5"/>
    </x:row>
  </x:sheetData>
  <x:mergeCells>
    <x:mergeCell ref="A1:L1"/>
    <x:mergeCell ref="A2:L2"/>
  </x:mergeCells>
  <x:dataValidations count="3">
    <x:dataValidation type="whole" operator="between" sqref="E5:E54">
      <x:formula1>1</x:formula1>
      <x:formula2>5</x:formula2>
    </x:dataValidation>
    <x:dataValidation type="list" sqref="F5:F54">
      <x:formula1>"Onboarding,AI Chat,Transactions,Security,Analytics,Mobile UX"</x:formula1>
    </x:dataValidation>
    <x:dataValidation type="list" sqref="J5:J54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5" hidden="0" customWidth="1"/>
    <x:col min="3" max="3" width="21.110000610351562" hidden="0" customWidth="1"/>
    <x:col min="4" max="4" width="27.219999313354492" hidden="0" customWidth="1"/>
    <x:col min="5" max="5" width="10.5600004196167" hidden="0" customWidth="1"/>
    <x:col min="6" max="6" width="14.4399995803833" hidden="0" customWidth="1"/>
    <x:col min="7" max="7" width="24.440000534057617" hidden="0" customWidth="1"/>
    <x:col min="8" max="8" width="26.670000076293945" hidden="0" customWidth="1"/>
    <x:col min="9" max="9" width="23.329999923706055" hidden="0" customWidth="1"/>
    <x:col min="10" max="10" width="10" hidden="0" customWidth="1"/>
    <x:col min="11" max="11" width="27.780000686645508" hidden="0" customWidth="1"/>
    <x:col min="12" max="12" width="32.220001220703125" hidden="0" customWidth="1"/>
  </x:cols>
  <x:sheetData>
    <x:row r="1" ht="32" customHeight="1">
      <x:c r="A1" s="3" t="str">
        <x:v>50-Wallet Interaction Evidence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Use one row per confirmed Stellar transaction. Consecutive activity must be 120–180 seconds apart.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11" t="str">
        <x:v>#</x:v>
      </x:c>
      <x:c r="B4" s="12" t="str">
        <x:v>Participant Wallet</x:v>
      </x:c>
      <x:c r="C4" s="12" t="str">
        <x:v>Counterparty Wallet</x:v>
      </x:c>
      <x:c r="D4" s="12" t="str">
        <x:v>Transaction Hash</x:v>
      </x:c>
      <x:c r="E4" s="12" t="str">
        <x:v>Direction</x:v>
      </x:c>
      <x:c r="F4" s="12" t="str">
        <x:v>Asset</x:v>
      </x:c>
      <x:c r="G4" s="12" t="str">
        <x:v>Amount</x:v>
      </x:c>
      <x:c r="H4" s="12" t="str">
        <x:v>Timestamp UTC</x:v>
      </x:c>
      <x:c r="I4" s="12" t="str">
        <x:v>Interval Seconds</x:v>
      </x:c>
      <x:c r="J4" s="12" t="str">
        <x:v>2–3 Minute Rule</x:v>
      </x:c>
      <x:c r="K4" s="12" t="str">
        <x:v>Explorer URL</x:v>
      </x:c>
      <x:c r="L4" s="13" t="str">
        <x:v>Verified</x:v>
      </x:c>
    </x:row>
    <x:row r="5">
      <x:c r="A5" s="31" t="n">
        <x:f>ROW()-4</x:f>
        <x:v>1</x:v>
      </x:c>
      <x:c r="B5" s="36"/>
      <x:c r="C5" s="36"/>
      <x:c r="D5" s="36"/>
      <x:c r="E5" s="36"/>
      <x:c r="F5" s="36"/>
      <x:c r="G5" s="40"/>
      <x:c r="H5" s="41"/>
      <x:c r="I5" s="42" t="str"/>
      <x:c r="J5" s="36" t="str">
        <x:v>First record</x:v>
      </x:c>
      <x:c r="K5" s="36" t="str">
        <x:f>IF(D5="","","https://stellar.expert/explorer/testnet/tx/"&amp;D5)</x:f>
      </x:c>
      <x:c r="L5" s="32" t="str">
        <x:v>Pending</x:v>
      </x:c>
    </x:row>
    <x:row r="6">
      <x:c r="A6" s="31" t="n">
        <x:f>ROW()-4</x:f>
        <x:v>2</x:v>
      </x:c>
      <x:c r="B6" s="36"/>
      <x:c r="C6" s="36"/>
      <x:c r="D6" s="36"/>
      <x:c r="E6" s="36"/>
      <x:c r="F6" s="36"/>
      <x:c r="G6" s="40"/>
      <x:c r="H6" s="41"/>
      <x:c r="I6" s="42" t="str">
        <x:f>IF(OR(H6="",H5=""),"",ROUND((H6-H5)*86400,0))</x:f>
      </x:c>
      <x:c r="J6" s="36" t="str">
        <x:f>IF(I6="","",IF(AND(I6&gt;=120,I6&lt;=180),"Pass","Review"))</x:f>
      </x:c>
      <x:c r="K6" s="36" t="str">
        <x:f>IF(D6="","","https://stellar.expert/explorer/testnet/tx/"&amp;D6)</x:f>
      </x:c>
      <x:c r="L6" s="32" t="str">
        <x:v>Pending</x:v>
      </x:c>
    </x:row>
    <x:row r="7">
      <x:c r="A7" s="31" t="n">
        <x:f>ROW()-4</x:f>
        <x:v>3</x:v>
      </x:c>
      <x:c r="B7" s="36"/>
      <x:c r="C7" s="36"/>
      <x:c r="D7" s="36"/>
      <x:c r="E7" s="36"/>
      <x:c r="F7" s="36"/>
      <x:c r="G7" s="40"/>
      <x:c r="H7" s="41"/>
      <x:c r="I7" s="42" t="str">
        <x:f>IF(OR(H7="",H6=""),"",ROUND((H7-H6)*86400,0))</x:f>
      </x:c>
      <x:c r="J7" s="36" t="str">
        <x:f>IF(I7="","",IF(AND(I7&gt;=120,I7&lt;=180),"Pass","Review"))</x:f>
      </x:c>
      <x:c r="K7" s="36" t="str">
        <x:f>IF(D7="","","https://stellar.expert/explorer/testnet/tx/"&amp;D7)</x:f>
      </x:c>
      <x:c r="L7" s="32" t="str">
        <x:v>Pending</x:v>
      </x:c>
    </x:row>
    <x:row r="8">
      <x:c r="A8" s="31" t="n">
        <x:f>ROW()-4</x:f>
        <x:v>4</x:v>
      </x:c>
      <x:c r="B8" s="36"/>
      <x:c r="C8" s="36"/>
      <x:c r="D8" s="36"/>
      <x:c r="E8" s="36"/>
      <x:c r="F8" s="36"/>
      <x:c r="G8" s="40"/>
      <x:c r="H8" s="41"/>
      <x:c r="I8" s="42" t="str">
        <x:f>IF(OR(H8="",H7=""),"",ROUND((H8-H7)*86400,0))</x:f>
      </x:c>
      <x:c r="J8" s="36" t="str">
        <x:f>IF(I8="","",IF(AND(I8&gt;=120,I8&lt;=180),"Pass","Review"))</x:f>
      </x:c>
      <x:c r="K8" s="36" t="str">
        <x:f>IF(D8="","","https://stellar.expert/explorer/testnet/tx/"&amp;D8)</x:f>
      </x:c>
      <x:c r="L8" s="32" t="str">
        <x:v>Pending</x:v>
      </x:c>
    </x:row>
    <x:row r="9">
      <x:c r="A9" s="31" t="n">
        <x:f>ROW()-4</x:f>
        <x:v>5</x:v>
      </x:c>
      <x:c r="B9" s="36"/>
      <x:c r="C9" s="36"/>
      <x:c r="D9" s="36"/>
      <x:c r="E9" s="36"/>
      <x:c r="F9" s="36"/>
      <x:c r="G9" s="40"/>
      <x:c r="H9" s="41"/>
      <x:c r="I9" s="42" t="str">
        <x:f>IF(OR(H9="",H8=""),"",ROUND((H9-H8)*86400,0))</x:f>
      </x:c>
      <x:c r="J9" s="36" t="str">
        <x:f>IF(I9="","",IF(AND(I9&gt;=120,I9&lt;=180),"Pass","Review"))</x:f>
      </x:c>
      <x:c r="K9" s="36" t="str">
        <x:f>IF(D9="","","https://stellar.expert/explorer/testnet/tx/"&amp;D9)</x:f>
      </x:c>
      <x:c r="L9" s="32" t="str">
        <x:v>Pending</x:v>
      </x:c>
    </x:row>
    <x:row r="10">
      <x:c r="A10" s="31" t="n">
        <x:f>ROW()-4</x:f>
        <x:v>6</x:v>
      </x:c>
      <x:c r="B10" s="36"/>
      <x:c r="C10" s="36"/>
      <x:c r="D10" s="36"/>
      <x:c r="E10" s="36"/>
      <x:c r="F10" s="36"/>
      <x:c r="G10" s="40"/>
      <x:c r="H10" s="41"/>
      <x:c r="I10" s="42" t="str">
        <x:f>IF(OR(H10="",H9=""),"",ROUND((H10-H9)*86400,0))</x:f>
      </x:c>
      <x:c r="J10" s="36" t="str">
        <x:f>IF(I10="","",IF(AND(I10&gt;=120,I10&lt;=180),"Pass","Review"))</x:f>
      </x:c>
      <x:c r="K10" s="36" t="str">
        <x:f>IF(D10="","","https://stellar.expert/explorer/testnet/tx/"&amp;D10)</x:f>
      </x:c>
      <x:c r="L10" s="32" t="str">
        <x:v>Pending</x:v>
      </x:c>
    </x:row>
    <x:row r="11">
      <x:c r="A11" s="31" t="n">
        <x:f>ROW()-4</x:f>
        <x:v>7</x:v>
      </x:c>
      <x:c r="B11" s="36"/>
      <x:c r="C11" s="36"/>
      <x:c r="D11" s="36"/>
      <x:c r="E11" s="36"/>
      <x:c r="F11" s="36"/>
      <x:c r="G11" s="40"/>
      <x:c r="H11" s="41"/>
      <x:c r="I11" s="42" t="str">
        <x:f>IF(OR(H11="",H10=""),"",ROUND((H11-H10)*86400,0))</x:f>
      </x:c>
      <x:c r="J11" s="36" t="str">
        <x:f>IF(I11="","",IF(AND(I11&gt;=120,I11&lt;=180),"Pass","Review"))</x:f>
      </x:c>
      <x:c r="K11" s="36" t="str">
        <x:f>IF(D11="","","https://stellar.expert/explorer/testnet/tx/"&amp;D11)</x:f>
      </x:c>
      <x:c r="L11" s="32" t="str">
        <x:v>Pending</x:v>
      </x:c>
    </x:row>
    <x:row r="12">
      <x:c r="A12" s="31" t="n">
        <x:f>ROW()-4</x:f>
        <x:v>8</x:v>
      </x:c>
      <x:c r="B12" s="36"/>
      <x:c r="C12" s="36"/>
      <x:c r="D12" s="36"/>
      <x:c r="E12" s="36"/>
      <x:c r="F12" s="36"/>
      <x:c r="G12" s="40"/>
      <x:c r="H12" s="41"/>
      <x:c r="I12" s="42" t="str">
        <x:f>IF(OR(H12="",H11=""),"",ROUND((H12-H11)*86400,0))</x:f>
      </x:c>
      <x:c r="J12" s="36" t="str">
        <x:f>IF(I12="","",IF(AND(I12&gt;=120,I12&lt;=180),"Pass","Review"))</x:f>
      </x:c>
      <x:c r="K12" s="36" t="str">
        <x:f>IF(D12="","","https://stellar.expert/explorer/testnet/tx/"&amp;D12)</x:f>
      </x:c>
      <x:c r="L12" s="32" t="str">
        <x:v>Pending</x:v>
      </x:c>
    </x:row>
    <x:row r="13">
      <x:c r="A13" s="31" t="n">
        <x:f>ROW()-4</x:f>
        <x:v>9</x:v>
      </x:c>
      <x:c r="B13" s="36"/>
      <x:c r="C13" s="36"/>
      <x:c r="D13" s="36"/>
      <x:c r="E13" s="36"/>
      <x:c r="F13" s="36"/>
      <x:c r="G13" s="40"/>
      <x:c r="H13" s="41"/>
      <x:c r="I13" s="42" t="str">
        <x:f>IF(OR(H13="",H12=""),"",ROUND((H13-H12)*86400,0))</x:f>
      </x:c>
      <x:c r="J13" s="36" t="str">
        <x:f>IF(I13="","",IF(AND(I13&gt;=120,I13&lt;=180),"Pass","Review"))</x:f>
      </x:c>
      <x:c r="K13" s="36" t="str">
        <x:f>IF(D13="","","https://stellar.expert/explorer/testnet/tx/"&amp;D13)</x:f>
      </x:c>
      <x:c r="L13" s="32" t="str">
        <x:v>Pending</x:v>
      </x:c>
    </x:row>
    <x:row r="14">
      <x:c r="A14" s="31" t="n">
        <x:f>ROW()-4</x:f>
        <x:v>10</x:v>
      </x:c>
      <x:c r="B14" s="36"/>
      <x:c r="C14" s="36"/>
      <x:c r="D14" s="36"/>
      <x:c r="E14" s="36"/>
      <x:c r="F14" s="36"/>
      <x:c r="G14" s="40"/>
      <x:c r="H14" s="41"/>
      <x:c r="I14" s="42" t="str">
        <x:f>IF(OR(H14="",H13=""),"",ROUND((H14-H13)*86400,0))</x:f>
      </x:c>
      <x:c r="J14" s="36" t="str">
        <x:f>IF(I14="","",IF(AND(I14&gt;=120,I14&lt;=180),"Pass","Review"))</x:f>
      </x:c>
      <x:c r="K14" s="36" t="str">
        <x:f>IF(D14="","","https://stellar.expert/explorer/testnet/tx/"&amp;D14)</x:f>
      </x:c>
      <x:c r="L14" s="32" t="str">
        <x:v>Pending</x:v>
      </x:c>
    </x:row>
    <x:row r="15">
      <x:c r="A15" s="31" t="n">
        <x:f>ROW()-4</x:f>
        <x:v>11</x:v>
      </x:c>
      <x:c r="B15" s="36"/>
      <x:c r="C15" s="36"/>
      <x:c r="D15" s="36"/>
      <x:c r="E15" s="36"/>
      <x:c r="F15" s="36"/>
      <x:c r="G15" s="40"/>
      <x:c r="H15" s="41"/>
      <x:c r="I15" s="42" t="str">
        <x:f>IF(OR(H15="",H14=""),"",ROUND((H15-H14)*86400,0))</x:f>
      </x:c>
      <x:c r="J15" s="36" t="str">
        <x:f>IF(I15="","",IF(AND(I15&gt;=120,I15&lt;=180),"Pass","Review"))</x:f>
      </x:c>
      <x:c r="K15" s="36" t="str">
        <x:f>IF(D15="","","https://stellar.expert/explorer/testnet/tx/"&amp;D15)</x:f>
      </x:c>
      <x:c r="L15" s="32" t="str">
        <x:v>Pending</x:v>
      </x:c>
    </x:row>
    <x:row r="16">
      <x:c r="A16" s="31" t="n">
        <x:f>ROW()-4</x:f>
        <x:v>12</x:v>
      </x:c>
      <x:c r="B16" s="36"/>
      <x:c r="C16" s="36"/>
      <x:c r="D16" s="36"/>
      <x:c r="E16" s="36"/>
      <x:c r="F16" s="36"/>
      <x:c r="G16" s="40"/>
      <x:c r="H16" s="41"/>
      <x:c r="I16" s="42" t="str">
        <x:f>IF(OR(H16="",H15=""),"",ROUND((H16-H15)*86400,0))</x:f>
      </x:c>
      <x:c r="J16" s="36" t="str">
        <x:f>IF(I16="","",IF(AND(I16&gt;=120,I16&lt;=180),"Pass","Review"))</x:f>
      </x:c>
      <x:c r="K16" s="36" t="str">
        <x:f>IF(D16="","","https://stellar.expert/explorer/testnet/tx/"&amp;D16)</x:f>
      </x:c>
      <x:c r="L16" s="32" t="str">
        <x:v>Pending</x:v>
      </x:c>
    </x:row>
    <x:row r="17">
      <x:c r="A17" s="31" t="n">
        <x:f>ROW()-4</x:f>
        <x:v>13</x:v>
      </x:c>
      <x:c r="B17" s="36"/>
      <x:c r="C17" s="36"/>
      <x:c r="D17" s="36"/>
      <x:c r="E17" s="36"/>
      <x:c r="F17" s="36"/>
      <x:c r="G17" s="40"/>
      <x:c r="H17" s="41"/>
      <x:c r="I17" s="42" t="str">
        <x:f>IF(OR(H17="",H16=""),"",ROUND((H17-H16)*86400,0))</x:f>
      </x:c>
      <x:c r="J17" s="36" t="str">
        <x:f>IF(I17="","",IF(AND(I17&gt;=120,I17&lt;=180),"Pass","Review"))</x:f>
      </x:c>
      <x:c r="K17" s="36" t="str">
        <x:f>IF(D17="","","https://stellar.expert/explorer/testnet/tx/"&amp;D17)</x:f>
      </x:c>
      <x:c r="L17" s="32" t="str">
        <x:v>Pending</x:v>
      </x:c>
    </x:row>
    <x:row r="18">
      <x:c r="A18" s="31" t="n">
        <x:f>ROW()-4</x:f>
        <x:v>14</x:v>
      </x:c>
      <x:c r="B18" s="36"/>
      <x:c r="C18" s="36"/>
      <x:c r="D18" s="36"/>
      <x:c r="E18" s="36"/>
      <x:c r="F18" s="36"/>
      <x:c r="G18" s="40"/>
      <x:c r="H18" s="41"/>
      <x:c r="I18" s="42" t="str">
        <x:f>IF(OR(H18="",H17=""),"",ROUND((H18-H17)*86400,0))</x:f>
      </x:c>
      <x:c r="J18" s="36" t="str">
        <x:f>IF(I18="","",IF(AND(I18&gt;=120,I18&lt;=180),"Pass","Review"))</x:f>
      </x:c>
      <x:c r="K18" s="36" t="str">
        <x:f>IF(D18="","","https://stellar.expert/explorer/testnet/tx/"&amp;D18)</x:f>
      </x:c>
      <x:c r="L18" s="32" t="str">
        <x:v>Pending</x:v>
      </x:c>
    </x:row>
    <x:row r="19">
      <x:c r="A19" s="31" t="n">
        <x:f>ROW()-4</x:f>
        <x:v>15</x:v>
      </x:c>
      <x:c r="B19" s="36"/>
      <x:c r="C19" s="36"/>
      <x:c r="D19" s="36"/>
      <x:c r="E19" s="36"/>
      <x:c r="F19" s="36"/>
      <x:c r="G19" s="40"/>
      <x:c r="H19" s="41"/>
      <x:c r="I19" s="42" t="str">
        <x:f>IF(OR(H19="",H18=""),"",ROUND((H19-H18)*86400,0))</x:f>
      </x:c>
      <x:c r="J19" s="36" t="str">
        <x:f>IF(I19="","",IF(AND(I19&gt;=120,I19&lt;=180),"Pass","Review"))</x:f>
      </x:c>
      <x:c r="K19" s="36" t="str">
        <x:f>IF(D19="","","https://stellar.expert/explorer/testnet/tx/"&amp;D19)</x:f>
      </x:c>
      <x:c r="L19" s="32" t="str">
        <x:v>Pending</x:v>
      </x:c>
    </x:row>
    <x:row r="20">
      <x:c r="A20" s="31" t="n">
        <x:f>ROW()-4</x:f>
        <x:v>16</x:v>
      </x:c>
      <x:c r="B20" s="36"/>
      <x:c r="C20" s="36"/>
      <x:c r="D20" s="36"/>
      <x:c r="E20" s="36"/>
      <x:c r="F20" s="36"/>
      <x:c r="G20" s="40"/>
      <x:c r="H20" s="41"/>
      <x:c r="I20" s="42" t="str">
        <x:f>IF(OR(H20="",H19=""),"",ROUND((H20-H19)*86400,0))</x:f>
      </x:c>
      <x:c r="J20" s="36" t="str">
        <x:f>IF(I20="","",IF(AND(I20&gt;=120,I20&lt;=180),"Pass","Review"))</x:f>
      </x:c>
      <x:c r="K20" s="36" t="str">
        <x:f>IF(D20="","","https://stellar.expert/explorer/testnet/tx/"&amp;D20)</x:f>
      </x:c>
      <x:c r="L20" s="32" t="str">
        <x:v>Pending</x:v>
      </x:c>
    </x:row>
    <x:row r="21">
      <x:c r="A21" s="31" t="n">
        <x:f>ROW()-4</x:f>
        <x:v>17</x:v>
      </x:c>
      <x:c r="B21" s="36"/>
      <x:c r="C21" s="36"/>
      <x:c r="D21" s="36"/>
      <x:c r="E21" s="36"/>
      <x:c r="F21" s="36"/>
      <x:c r="G21" s="40"/>
      <x:c r="H21" s="41"/>
      <x:c r="I21" s="42" t="str">
        <x:f>IF(OR(H21="",H20=""),"",ROUND((H21-H20)*86400,0))</x:f>
      </x:c>
      <x:c r="J21" s="36" t="str">
        <x:f>IF(I21="","",IF(AND(I21&gt;=120,I21&lt;=180),"Pass","Review"))</x:f>
      </x:c>
      <x:c r="K21" s="36" t="str">
        <x:f>IF(D21="","","https://stellar.expert/explorer/testnet/tx/"&amp;D21)</x:f>
      </x:c>
      <x:c r="L21" s="32" t="str">
        <x:v>Pending</x:v>
      </x:c>
    </x:row>
    <x:row r="22">
      <x:c r="A22" s="31" t="n">
        <x:f>ROW()-4</x:f>
        <x:v>18</x:v>
      </x:c>
      <x:c r="B22" s="36"/>
      <x:c r="C22" s="36"/>
      <x:c r="D22" s="36"/>
      <x:c r="E22" s="36"/>
      <x:c r="F22" s="36"/>
      <x:c r="G22" s="40"/>
      <x:c r="H22" s="41"/>
      <x:c r="I22" s="42" t="str">
        <x:f>IF(OR(H22="",H21=""),"",ROUND((H22-H21)*86400,0))</x:f>
      </x:c>
      <x:c r="J22" s="36" t="str">
        <x:f>IF(I22="","",IF(AND(I22&gt;=120,I22&lt;=180),"Pass","Review"))</x:f>
      </x:c>
      <x:c r="K22" s="36" t="str">
        <x:f>IF(D22="","","https://stellar.expert/explorer/testnet/tx/"&amp;D22)</x:f>
      </x:c>
      <x:c r="L22" s="32" t="str">
        <x:v>Pending</x:v>
      </x:c>
    </x:row>
    <x:row r="23">
      <x:c r="A23" s="31" t="n">
        <x:f>ROW()-4</x:f>
        <x:v>19</x:v>
      </x:c>
      <x:c r="B23" s="36"/>
      <x:c r="C23" s="36"/>
      <x:c r="D23" s="36"/>
      <x:c r="E23" s="36"/>
      <x:c r="F23" s="36"/>
      <x:c r="G23" s="40"/>
      <x:c r="H23" s="41"/>
      <x:c r="I23" s="42" t="str">
        <x:f>IF(OR(H23="",H22=""),"",ROUND((H23-H22)*86400,0))</x:f>
      </x:c>
      <x:c r="J23" s="36" t="str">
        <x:f>IF(I23="","",IF(AND(I23&gt;=120,I23&lt;=180),"Pass","Review"))</x:f>
      </x:c>
      <x:c r="K23" s="36" t="str">
        <x:f>IF(D23="","","https://stellar.expert/explorer/testnet/tx/"&amp;D23)</x:f>
      </x:c>
      <x:c r="L23" s="32" t="str">
        <x:v>Pending</x:v>
      </x:c>
    </x:row>
    <x:row r="24">
      <x:c r="A24" s="31" t="n">
        <x:f>ROW()-4</x:f>
        <x:v>20</x:v>
      </x:c>
      <x:c r="B24" s="36"/>
      <x:c r="C24" s="36"/>
      <x:c r="D24" s="36"/>
      <x:c r="E24" s="36"/>
      <x:c r="F24" s="36"/>
      <x:c r="G24" s="40"/>
      <x:c r="H24" s="41"/>
      <x:c r="I24" s="42" t="str">
        <x:f>IF(OR(H24="",H23=""),"",ROUND((H24-H23)*86400,0))</x:f>
      </x:c>
      <x:c r="J24" s="36" t="str">
        <x:f>IF(I24="","",IF(AND(I24&gt;=120,I24&lt;=180),"Pass","Review"))</x:f>
      </x:c>
      <x:c r="K24" s="36" t="str">
        <x:f>IF(D24="","","https://stellar.expert/explorer/testnet/tx/"&amp;D24)</x:f>
      </x:c>
      <x:c r="L24" s="32" t="str">
        <x:v>Pending</x:v>
      </x:c>
    </x:row>
    <x:row r="25">
      <x:c r="A25" s="31" t="n">
        <x:f>ROW()-4</x:f>
        <x:v>21</x:v>
      </x:c>
      <x:c r="B25" s="36"/>
      <x:c r="C25" s="36"/>
      <x:c r="D25" s="36"/>
      <x:c r="E25" s="36"/>
      <x:c r="F25" s="36"/>
      <x:c r="G25" s="40"/>
      <x:c r="H25" s="41"/>
      <x:c r="I25" s="42" t="str">
        <x:f>IF(OR(H25="",H24=""),"",ROUND((H25-H24)*86400,0))</x:f>
      </x:c>
      <x:c r="J25" s="36" t="str">
        <x:f>IF(I25="","",IF(AND(I25&gt;=120,I25&lt;=180),"Pass","Review"))</x:f>
      </x:c>
      <x:c r="K25" s="36" t="str">
        <x:f>IF(D25="","","https://stellar.expert/explorer/testnet/tx/"&amp;D25)</x:f>
      </x:c>
      <x:c r="L25" s="32" t="str">
        <x:v>Pending</x:v>
      </x:c>
    </x:row>
    <x:row r="26">
      <x:c r="A26" s="31" t="n">
        <x:f>ROW()-4</x:f>
        <x:v>22</x:v>
      </x:c>
      <x:c r="B26" s="36"/>
      <x:c r="C26" s="36"/>
      <x:c r="D26" s="36"/>
      <x:c r="E26" s="36"/>
      <x:c r="F26" s="36"/>
      <x:c r="G26" s="40"/>
      <x:c r="H26" s="41"/>
      <x:c r="I26" s="42" t="str">
        <x:f>IF(OR(H26="",H25=""),"",ROUND((H26-H25)*86400,0))</x:f>
      </x:c>
      <x:c r="J26" s="36" t="str">
        <x:f>IF(I26="","",IF(AND(I26&gt;=120,I26&lt;=180),"Pass","Review"))</x:f>
      </x:c>
      <x:c r="K26" s="36" t="str">
        <x:f>IF(D26="","","https://stellar.expert/explorer/testnet/tx/"&amp;D26)</x:f>
      </x:c>
      <x:c r="L26" s="32" t="str">
        <x:v>Pending</x:v>
      </x:c>
    </x:row>
    <x:row r="27">
      <x:c r="A27" s="31" t="n">
        <x:f>ROW()-4</x:f>
        <x:v>23</x:v>
      </x:c>
      <x:c r="B27" s="36"/>
      <x:c r="C27" s="36"/>
      <x:c r="D27" s="36"/>
      <x:c r="E27" s="36"/>
      <x:c r="F27" s="36"/>
      <x:c r="G27" s="40"/>
      <x:c r="H27" s="41"/>
      <x:c r="I27" s="42" t="str">
        <x:f>IF(OR(H27="",H26=""),"",ROUND((H27-H26)*86400,0))</x:f>
      </x:c>
      <x:c r="J27" s="36" t="str">
        <x:f>IF(I27="","",IF(AND(I27&gt;=120,I27&lt;=180),"Pass","Review"))</x:f>
      </x:c>
      <x:c r="K27" s="36" t="str">
        <x:f>IF(D27="","","https://stellar.expert/explorer/testnet/tx/"&amp;D27)</x:f>
      </x:c>
      <x:c r="L27" s="32" t="str">
        <x:v>Pending</x:v>
      </x:c>
    </x:row>
    <x:row r="28">
      <x:c r="A28" s="31" t="n">
        <x:f>ROW()-4</x:f>
        <x:v>24</x:v>
      </x:c>
      <x:c r="B28" s="36"/>
      <x:c r="C28" s="36"/>
      <x:c r="D28" s="36"/>
      <x:c r="E28" s="36"/>
      <x:c r="F28" s="36"/>
      <x:c r="G28" s="40"/>
      <x:c r="H28" s="41"/>
      <x:c r="I28" s="42" t="str">
        <x:f>IF(OR(H28="",H27=""),"",ROUND((H28-H27)*86400,0))</x:f>
      </x:c>
      <x:c r="J28" s="36" t="str">
        <x:f>IF(I28="","",IF(AND(I28&gt;=120,I28&lt;=180),"Pass","Review"))</x:f>
      </x:c>
      <x:c r="K28" s="36" t="str">
        <x:f>IF(D28="","","https://stellar.expert/explorer/testnet/tx/"&amp;D28)</x:f>
      </x:c>
      <x:c r="L28" s="32" t="str">
        <x:v>Pending</x:v>
      </x:c>
    </x:row>
    <x:row r="29">
      <x:c r="A29" s="31" t="n">
        <x:f>ROW()-4</x:f>
        <x:v>25</x:v>
      </x:c>
      <x:c r="B29" s="36"/>
      <x:c r="C29" s="36"/>
      <x:c r="D29" s="36"/>
      <x:c r="E29" s="36"/>
      <x:c r="F29" s="36"/>
      <x:c r="G29" s="40"/>
      <x:c r="H29" s="41"/>
      <x:c r="I29" s="42" t="str">
        <x:f>IF(OR(H29="",H28=""),"",ROUND((H29-H28)*86400,0))</x:f>
      </x:c>
      <x:c r="J29" s="36" t="str">
        <x:f>IF(I29="","",IF(AND(I29&gt;=120,I29&lt;=180),"Pass","Review"))</x:f>
      </x:c>
      <x:c r="K29" s="36" t="str">
        <x:f>IF(D29="","","https://stellar.expert/explorer/testnet/tx/"&amp;D29)</x:f>
      </x:c>
      <x:c r="L29" s="32" t="str">
        <x:v>Pending</x:v>
      </x:c>
    </x:row>
    <x:row r="30">
      <x:c r="A30" s="31" t="n">
        <x:f>ROW()-4</x:f>
        <x:v>26</x:v>
      </x:c>
      <x:c r="B30" s="36"/>
      <x:c r="C30" s="36"/>
      <x:c r="D30" s="36"/>
      <x:c r="E30" s="36"/>
      <x:c r="F30" s="36"/>
      <x:c r="G30" s="40"/>
      <x:c r="H30" s="41"/>
      <x:c r="I30" s="42" t="str">
        <x:f>IF(OR(H30="",H29=""),"",ROUND((H30-H29)*86400,0))</x:f>
      </x:c>
      <x:c r="J30" s="36" t="str">
        <x:f>IF(I30="","",IF(AND(I30&gt;=120,I30&lt;=180),"Pass","Review"))</x:f>
      </x:c>
      <x:c r="K30" s="36" t="str">
        <x:f>IF(D30="","","https://stellar.expert/explorer/testnet/tx/"&amp;D30)</x:f>
      </x:c>
      <x:c r="L30" s="32" t="str">
        <x:v>Pending</x:v>
      </x:c>
    </x:row>
    <x:row r="31">
      <x:c r="A31" s="31" t="n">
        <x:f>ROW()-4</x:f>
        <x:v>27</x:v>
      </x:c>
      <x:c r="B31" s="36"/>
      <x:c r="C31" s="36"/>
      <x:c r="D31" s="36"/>
      <x:c r="E31" s="36"/>
      <x:c r="F31" s="36"/>
      <x:c r="G31" s="40"/>
      <x:c r="H31" s="41"/>
      <x:c r="I31" s="42" t="str">
        <x:f>IF(OR(H31="",H30=""),"",ROUND((H31-H30)*86400,0))</x:f>
      </x:c>
      <x:c r="J31" s="36" t="str">
        <x:f>IF(I31="","",IF(AND(I31&gt;=120,I31&lt;=180),"Pass","Review"))</x:f>
      </x:c>
      <x:c r="K31" s="36" t="str">
        <x:f>IF(D31="","","https://stellar.expert/explorer/testnet/tx/"&amp;D31)</x:f>
      </x:c>
      <x:c r="L31" s="32" t="str">
        <x:v>Pending</x:v>
      </x:c>
    </x:row>
    <x:row r="32">
      <x:c r="A32" s="31" t="n">
        <x:f>ROW()-4</x:f>
        <x:v>28</x:v>
      </x:c>
      <x:c r="B32" s="36"/>
      <x:c r="C32" s="36"/>
      <x:c r="D32" s="36"/>
      <x:c r="E32" s="36"/>
      <x:c r="F32" s="36"/>
      <x:c r="G32" s="40"/>
      <x:c r="H32" s="41"/>
      <x:c r="I32" s="42" t="str">
        <x:f>IF(OR(H32="",H31=""),"",ROUND((H32-H31)*86400,0))</x:f>
      </x:c>
      <x:c r="J32" s="36" t="str">
        <x:f>IF(I32="","",IF(AND(I32&gt;=120,I32&lt;=180),"Pass","Review"))</x:f>
      </x:c>
      <x:c r="K32" s="36" t="str">
        <x:f>IF(D32="","","https://stellar.expert/explorer/testnet/tx/"&amp;D32)</x:f>
      </x:c>
      <x:c r="L32" s="32" t="str">
        <x:v>Pending</x:v>
      </x:c>
    </x:row>
    <x:row r="33">
      <x:c r="A33" s="31" t="n">
        <x:f>ROW()-4</x:f>
        <x:v>29</x:v>
      </x:c>
      <x:c r="B33" s="36"/>
      <x:c r="C33" s="36"/>
      <x:c r="D33" s="36"/>
      <x:c r="E33" s="36"/>
      <x:c r="F33" s="36"/>
      <x:c r="G33" s="40"/>
      <x:c r="H33" s="41"/>
      <x:c r="I33" s="42" t="str">
        <x:f>IF(OR(H33="",H32=""),"",ROUND((H33-H32)*86400,0))</x:f>
      </x:c>
      <x:c r="J33" s="36" t="str">
        <x:f>IF(I33="","",IF(AND(I33&gt;=120,I33&lt;=180),"Pass","Review"))</x:f>
      </x:c>
      <x:c r="K33" s="36" t="str">
        <x:f>IF(D33="","","https://stellar.expert/explorer/testnet/tx/"&amp;D33)</x:f>
      </x:c>
      <x:c r="L33" s="32" t="str">
        <x:v>Pending</x:v>
      </x:c>
    </x:row>
    <x:row r="34">
      <x:c r="A34" s="31" t="n">
        <x:f>ROW()-4</x:f>
        <x:v>30</x:v>
      </x:c>
      <x:c r="B34" s="36"/>
      <x:c r="C34" s="36"/>
      <x:c r="D34" s="36"/>
      <x:c r="E34" s="36"/>
      <x:c r="F34" s="36"/>
      <x:c r="G34" s="40"/>
      <x:c r="H34" s="41"/>
      <x:c r="I34" s="42" t="str">
        <x:f>IF(OR(H34="",H33=""),"",ROUND((H34-H33)*86400,0))</x:f>
      </x:c>
      <x:c r="J34" s="36" t="str">
        <x:f>IF(I34="","",IF(AND(I34&gt;=120,I34&lt;=180),"Pass","Review"))</x:f>
      </x:c>
      <x:c r="K34" s="36" t="str">
        <x:f>IF(D34="","","https://stellar.expert/explorer/testnet/tx/"&amp;D34)</x:f>
      </x:c>
      <x:c r="L34" s="32" t="str">
        <x:v>Pending</x:v>
      </x:c>
    </x:row>
    <x:row r="35">
      <x:c r="A35" s="31" t="n">
        <x:f>ROW()-4</x:f>
        <x:v>31</x:v>
      </x:c>
      <x:c r="B35" s="36"/>
      <x:c r="C35" s="36"/>
      <x:c r="D35" s="36"/>
      <x:c r="E35" s="36"/>
      <x:c r="F35" s="36"/>
      <x:c r="G35" s="40"/>
      <x:c r="H35" s="41"/>
      <x:c r="I35" s="42" t="str">
        <x:f>IF(OR(H35="",H34=""),"",ROUND((H35-H34)*86400,0))</x:f>
      </x:c>
      <x:c r="J35" s="36" t="str">
        <x:f>IF(I35="","",IF(AND(I35&gt;=120,I35&lt;=180),"Pass","Review"))</x:f>
      </x:c>
      <x:c r="K35" s="36" t="str">
        <x:f>IF(D35="","","https://stellar.expert/explorer/testnet/tx/"&amp;D35)</x:f>
      </x:c>
      <x:c r="L35" s="32" t="str">
        <x:v>Pending</x:v>
      </x:c>
    </x:row>
    <x:row r="36">
      <x:c r="A36" s="31" t="n">
        <x:f>ROW()-4</x:f>
        <x:v>32</x:v>
      </x:c>
      <x:c r="B36" s="36"/>
      <x:c r="C36" s="36"/>
      <x:c r="D36" s="36"/>
      <x:c r="E36" s="36"/>
      <x:c r="F36" s="36"/>
      <x:c r="G36" s="40"/>
      <x:c r="H36" s="41"/>
      <x:c r="I36" s="42" t="str">
        <x:f>IF(OR(H36="",H35=""),"",ROUND((H36-H35)*86400,0))</x:f>
      </x:c>
      <x:c r="J36" s="36" t="str">
        <x:f>IF(I36="","",IF(AND(I36&gt;=120,I36&lt;=180),"Pass","Review"))</x:f>
      </x:c>
      <x:c r="K36" s="36" t="str">
        <x:f>IF(D36="","","https://stellar.expert/explorer/testnet/tx/"&amp;D36)</x:f>
      </x:c>
      <x:c r="L36" s="32" t="str">
        <x:v>Pending</x:v>
      </x:c>
    </x:row>
    <x:row r="37">
      <x:c r="A37" s="31" t="n">
        <x:f>ROW()-4</x:f>
        <x:v>33</x:v>
      </x:c>
      <x:c r="B37" s="36"/>
      <x:c r="C37" s="36"/>
      <x:c r="D37" s="36"/>
      <x:c r="E37" s="36"/>
      <x:c r="F37" s="36"/>
      <x:c r="G37" s="40"/>
      <x:c r="H37" s="41"/>
      <x:c r="I37" s="42" t="str">
        <x:f>IF(OR(H37="",H36=""),"",ROUND((H37-H36)*86400,0))</x:f>
      </x:c>
      <x:c r="J37" s="36" t="str">
        <x:f>IF(I37="","",IF(AND(I37&gt;=120,I37&lt;=180),"Pass","Review"))</x:f>
      </x:c>
      <x:c r="K37" s="36" t="str">
        <x:f>IF(D37="","","https://stellar.expert/explorer/testnet/tx/"&amp;D37)</x:f>
      </x:c>
      <x:c r="L37" s="32" t="str">
        <x:v>Pending</x:v>
      </x:c>
    </x:row>
    <x:row r="38">
      <x:c r="A38" s="31" t="n">
        <x:f>ROW()-4</x:f>
        <x:v>34</x:v>
      </x:c>
      <x:c r="B38" s="36"/>
      <x:c r="C38" s="36"/>
      <x:c r="D38" s="36"/>
      <x:c r="E38" s="36"/>
      <x:c r="F38" s="36"/>
      <x:c r="G38" s="40"/>
      <x:c r="H38" s="41"/>
      <x:c r="I38" s="42" t="str">
        <x:f>IF(OR(H38="",H37=""),"",ROUND((H38-H37)*86400,0))</x:f>
      </x:c>
      <x:c r="J38" s="36" t="str">
        <x:f>IF(I38="","",IF(AND(I38&gt;=120,I38&lt;=180),"Pass","Review"))</x:f>
      </x:c>
      <x:c r="K38" s="36" t="str">
        <x:f>IF(D38="","","https://stellar.expert/explorer/testnet/tx/"&amp;D38)</x:f>
      </x:c>
      <x:c r="L38" s="32" t="str">
        <x:v>Pending</x:v>
      </x:c>
    </x:row>
    <x:row r="39">
      <x:c r="A39" s="31" t="n">
        <x:f>ROW()-4</x:f>
        <x:v>35</x:v>
      </x:c>
      <x:c r="B39" s="36"/>
      <x:c r="C39" s="36"/>
      <x:c r="D39" s="36"/>
      <x:c r="E39" s="36"/>
      <x:c r="F39" s="36"/>
      <x:c r="G39" s="40"/>
      <x:c r="H39" s="41"/>
      <x:c r="I39" s="42" t="str">
        <x:f>IF(OR(H39="",H38=""),"",ROUND((H39-H38)*86400,0))</x:f>
      </x:c>
      <x:c r="J39" s="36" t="str">
        <x:f>IF(I39="","",IF(AND(I39&gt;=120,I39&lt;=180),"Pass","Review"))</x:f>
      </x:c>
      <x:c r="K39" s="36" t="str">
        <x:f>IF(D39="","","https://stellar.expert/explorer/testnet/tx/"&amp;D39)</x:f>
      </x:c>
      <x:c r="L39" s="32" t="str">
        <x:v>Pending</x:v>
      </x:c>
    </x:row>
    <x:row r="40">
      <x:c r="A40" s="31" t="n">
        <x:f>ROW()-4</x:f>
        <x:v>36</x:v>
      </x:c>
      <x:c r="B40" s="36"/>
      <x:c r="C40" s="36"/>
      <x:c r="D40" s="36"/>
      <x:c r="E40" s="36"/>
      <x:c r="F40" s="36"/>
      <x:c r="G40" s="40"/>
      <x:c r="H40" s="41"/>
      <x:c r="I40" s="42" t="str">
        <x:f>IF(OR(H40="",H39=""),"",ROUND((H40-H39)*86400,0))</x:f>
      </x:c>
      <x:c r="J40" s="36" t="str">
        <x:f>IF(I40="","",IF(AND(I40&gt;=120,I40&lt;=180),"Pass","Review"))</x:f>
      </x:c>
      <x:c r="K40" s="36" t="str">
        <x:f>IF(D40="","","https://stellar.expert/explorer/testnet/tx/"&amp;D40)</x:f>
      </x:c>
      <x:c r="L40" s="32" t="str">
        <x:v>Pending</x:v>
      </x:c>
    </x:row>
    <x:row r="41">
      <x:c r="A41" s="31" t="n">
        <x:f>ROW()-4</x:f>
        <x:v>37</x:v>
      </x:c>
      <x:c r="B41" s="36"/>
      <x:c r="C41" s="36"/>
      <x:c r="D41" s="36"/>
      <x:c r="E41" s="36"/>
      <x:c r="F41" s="36"/>
      <x:c r="G41" s="40"/>
      <x:c r="H41" s="41"/>
      <x:c r="I41" s="42" t="str">
        <x:f>IF(OR(H41="",H40=""),"",ROUND((H41-H40)*86400,0))</x:f>
      </x:c>
      <x:c r="J41" s="36" t="str">
        <x:f>IF(I41="","",IF(AND(I41&gt;=120,I41&lt;=180),"Pass","Review"))</x:f>
      </x:c>
      <x:c r="K41" s="36" t="str">
        <x:f>IF(D41="","","https://stellar.expert/explorer/testnet/tx/"&amp;D41)</x:f>
      </x:c>
      <x:c r="L41" s="32" t="str">
        <x:v>Pending</x:v>
      </x:c>
    </x:row>
    <x:row r="42">
      <x:c r="A42" s="31" t="n">
        <x:f>ROW()-4</x:f>
        <x:v>38</x:v>
      </x:c>
      <x:c r="B42" s="36"/>
      <x:c r="C42" s="36"/>
      <x:c r="D42" s="36"/>
      <x:c r="E42" s="36"/>
      <x:c r="F42" s="36"/>
      <x:c r="G42" s="40"/>
      <x:c r="H42" s="41"/>
      <x:c r="I42" s="42" t="str">
        <x:f>IF(OR(H42="",H41=""),"",ROUND((H42-H41)*86400,0))</x:f>
      </x:c>
      <x:c r="J42" s="36" t="str">
        <x:f>IF(I42="","",IF(AND(I42&gt;=120,I42&lt;=180),"Pass","Review"))</x:f>
      </x:c>
      <x:c r="K42" s="36" t="str">
        <x:f>IF(D42="","","https://stellar.expert/explorer/testnet/tx/"&amp;D42)</x:f>
      </x:c>
      <x:c r="L42" s="32" t="str">
        <x:v>Pending</x:v>
      </x:c>
    </x:row>
    <x:row r="43">
      <x:c r="A43" s="31" t="n">
        <x:f>ROW()-4</x:f>
        <x:v>39</x:v>
      </x:c>
      <x:c r="B43" s="36"/>
      <x:c r="C43" s="36"/>
      <x:c r="D43" s="36"/>
      <x:c r="E43" s="36"/>
      <x:c r="F43" s="36"/>
      <x:c r="G43" s="40"/>
      <x:c r="H43" s="41"/>
      <x:c r="I43" s="42" t="str">
        <x:f>IF(OR(H43="",H42=""),"",ROUND((H43-H42)*86400,0))</x:f>
      </x:c>
      <x:c r="J43" s="36" t="str">
        <x:f>IF(I43="","",IF(AND(I43&gt;=120,I43&lt;=180),"Pass","Review"))</x:f>
      </x:c>
      <x:c r="K43" s="36" t="str">
        <x:f>IF(D43="","","https://stellar.expert/explorer/testnet/tx/"&amp;D43)</x:f>
      </x:c>
      <x:c r="L43" s="32" t="str">
        <x:v>Pending</x:v>
      </x:c>
    </x:row>
    <x:row r="44">
      <x:c r="A44" s="31" t="n">
        <x:f>ROW()-4</x:f>
        <x:v>40</x:v>
      </x:c>
      <x:c r="B44" s="36"/>
      <x:c r="C44" s="36"/>
      <x:c r="D44" s="36"/>
      <x:c r="E44" s="36"/>
      <x:c r="F44" s="36"/>
      <x:c r="G44" s="40"/>
      <x:c r="H44" s="41"/>
      <x:c r="I44" s="42" t="str">
        <x:f>IF(OR(H44="",H43=""),"",ROUND((H44-H43)*86400,0))</x:f>
      </x:c>
      <x:c r="J44" s="36" t="str">
        <x:f>IF(I44="","",IF(AND(I44&gt;=120,I44&lt;=180),"Pass","Review"))</x:f>
      </x:c>
      <x:c r="K44" s="36" t="str">
        <x:f>IF(D44="","","https://stellar.expert/explorer/testnet/tx/"&amp;D44)</x:f>
      </x:c>
      <x:c r="L44" s="32" t="str">
        <x:v>Pending</x:v>
      </x:c>
    </x:row>
    <x:row r="45">
      <x:c r="A45" s="31" t="n">
        <x:f>ROW()-4</x:f>
        <x:v>41</x:v>
      </x:c>
      <x:c r="B45" s="36"/>
      <x:c r="C45" s="36"/>
      <x:c r="D45" s="36"/>
      <x:c r="E45" s="36"/>
      <x:c r="F45" s="36"/>
      <x:c r="G45" s="40"/>
      <x:c r="H45" s="41"/>
      <x:c r="I45" s="42" t="str">
        <x:f>IF(OR(H45="",H44=""),"",ROUND((H45-H44)*86400,0))</x:f>
      </x:c>
      <x:c r="J45" s="36" t="str">
        <x:f>IF(I45="","",IF(AND(I45&gt;=120,I45&lt;=180),"Pass","Review"))</x:f>
      </x:c>
      <x:c r="K45" s="36" t="str">
        <x:f>IF(D45="","","https://stellar.expert/explorer/testnet/tx/"&amp;D45)</x:f>
      </x:c>
      <x:c r="L45" s="32" t="str">
        <x:v>Pending</x:v>
      </x:c>
    </x:row>
    <x:row r="46">
      <x:c r="A46" s="31" t="n">
        <x:f>ROW()-4</x:f>
        <x:v>42</x:v>
      </x:c>
      <x:c r="B46" s="36"/>
      <x:c r="C46" s="36"/>
      <x:c r="D46" s="36"/>
      <x:c r="E46" s="36"/>
      <x:c r="F46" s="36"/>
      <x:c r="G46" s="40"/>
      <x:c r="H46" s="41"/>
      <x:c r="I46" s="42" t="str">
        <x:f>IF(OR(H46="",H45=""),"",ROUND((H46-H45)*86400,0))</x:f>
      </x:c>
      <x:c r="J46" s="36" t="str">
        <x:f>IF(I46="","",IF(AND(I46&gt;=120,I46&lt;=180),"Pass","Review"))</x:f>
      </x:c>
      <x:c r="K46" s="36" t="str">
        <x:f>IF(D46="","","https://stellar.expert/explorer/testnet/tx/"&amp;D46)</x:f>
      </x:c>
      <x:c r="L46" s="32" t="str">
        <x:v>Pending</x:v>
      </x:c>
    </x:row>
    <x:row r="47">
      <x:c r="A47" s="31" t="n">
        <x:f>ROW()-4</x:f>
        <x:v>43</x:v>
      </x:c>
      <x:c r="B47" s="36"/>
      <x:c r="C47" s="36"/>
      <x:c r="D47" s="36"/>
      <x:c r="E47" s="36"/>
      <x:c r="F47" s="36"/>
      <x:c r="G47" s="40"/>
      <x:c r="H47" s="41"/>
      <x:c r="I47" s="42" t="str">
        <x:f>IF(OR(H47="",H46=""),"",ROUND((H47-H46)*86400,0))</x:f>
      </x:c>
      <x:c r="J47" s="36" t="str">
        <x:f>IF(I47="","",IF(AND(I47&gt;=120,I47&lt;=180),"Pass","Review"))</x:f>
      </x:c>
      <x:c r="K47" s="36" t="str">
        <x:f>IF(D47="","","https://stellar.expert/explorer/testnet/tx/"&amp;D47)</x:f>
      </x:c>
      <x:c r="L47" s="32" t="str">
        <x:v>Pending</x:v>
      </x:c>
    </x:row>
    <x:row r="48">
      <x:c r="A48" s="31" t="n">
        <x:f>ROW()-4</x:f>
        <x:v>44</x:v>
      </x:c>
      <x:c r="B48" s="36"/>
      <x:c r="C48" s="36"/>
      <x:c r="D48" s="36"/>
      <x:c r="E48" s="36"/>
      <x:c r="F48" s="36"/>
      <x:c r="G48" s="40"/>
      <x:c r="H48" s="41"/>
      <x:c r="I48" s="42" t="str">
        <x:f>IF(OR(H48="",H47=""),"",ROUND((H48-H47)*86400,0))</x:f>
      </x:c>
      <x:c r="J48" s="36" t="str">
        <x:f>IF(I48="","",IF(AND(I48&gt;=120,I48&lt;=180),"Pass","Review"))</x:f>
      </x:c>
      <x:c r="K48" s="36" t="str">
        <x:f>IF(D48="","","https://stellar.expert/explorer/testnet/tx/"&amp;D48)</x:f>
      </x:c>
      <x:c r="L48" s="32" t="str">
        <x:v>Pending</x:v>
      </x:c>
    </x:row>
    <x:row r="49">
      <x:c r="A49" s="31" t="n">
        <x:f>ROW()-4</x:f>
        <x:v>45</x:v>
      </x:c>
      <x:c r="B49" s="36"/>
      <x:c r="C49" s="36"/>
      <x:c r="D49" s="36"/>
      <x:c r="E49" s="36"/>
      <x:c r="F49" s="36"/>
      <x:c r="G49" s="40"/>
      <x:c r="H49" s="41"/>
      <x:c r="I49" s="42" t="str">
        <x:f>IF(OR(H49="",H48=""),"",ROUND((H49-H48)*86400,0))</x:f>
      </x:c>
      <x:c r="J49" s="36" t="str">
        <x:f>IF(I49="","",IF(AND(I49&gt;=120,I49&lt;=180),"Pass","Review"))</x:f>
      </x:c>
      <x:c r="K49" s="36" t="str">
        <x:f>IF(D49="","","https://stellar.expert/explorer/testnet/tx/"&amp;D49)</x:f>
      </x:c>
      <x:c r="L49" s="32" t="str">
        <x:v>Pending</x:v>
      </x:c>
    </x:row>
    <x:row r="50">
      <x:c r="A50" s="31" t="n">
        <x:f>ROW()-4</x:f>
        <x:v>46</x:v>
      </x:c>
      <x:c r="B50" s="36"/>
      <x:c r="C50" s="36"/>
      <x:c r="D50" s="36"/>
      <x:c r="E50" s="36"/>
      <x:c r="F50" s="36"/>
      <x:c r="G50" s="40"/>
      <x:c r="H50" s="41"/>
      <x:c r="I50" s="42" t="str">
        <x:f>IF(OR(H50="",H49=""),"",ROUND((H50-H49)*86400,0))</x:f>
      </x:c>
      <x:c r="J50" s="36" t="str">
        <x:f>IF(I50="","",IF(AND(I50&gt;=120,I50&lt;=180),"Pass","Review"))</x:f>
      </x:c>
      <x:c r="K50" s="36" t="str">
        <x:f>IF(D50="","","https://stellar.expert/explorer/testnet/tx/"&amp;D50)</x:f>
      </x:c>
      <x:c r="L50" s="32" t="str">
        <x:v>Pending</x:v>
      </x:c>
    </x:row>
    <x:row r="51">
      <x:c r="A51" s="31" t="n">
        <x:f>ROW()-4</x:f>
        <x:v>47</x:v>
      </x:c>
      <x:c r="B51" s="36"/>
      <x:c r="C51" s="36"/>
      <x:c r="D51" s="36"/>
      <x:c r="E51" s="36"/>
      <x:c r="F51" s="36"/>
      <x:c r="G51" s="40"/>
      <x:c r="H51" s="41"/>
      <x:c r="I51" s="42" t="str">
        <x:f>IF(OR(H51="",H50=""),"",ROUND((H51-H50)*86400,0))</x:f>
      </x:c>
      <x:c r="J51" s="36" t="str">
        <x:f>IF(I51="","",IF(AND(I51&gt;=120,I51&lt;=180),"Pass","Review"))</x:f>
      </x:c>
      <x:c r="K51" s="36" t="str">
        <x:f>IF(D51="","","https://stellar.expert/explorer/testnet/tx/"&amp;D51)</x:f>
      </x:c>
      <x:c r="L51" s="32" t="str">
        <x:v>Pending</x:v>
      </x:c>
    </x:row>
    <x:row r="52">
      <x:c r="A52" s="31" t="n">
        <x:f>ROW()-4</x:f>
        <x:v>48</x:v>
      </x:c>
      <x:c r="B52" s="36"/>
      <x:c r="C52" s="36"/>
      <x:c r="D52" s="36"/>
      <x:c r="E52" s="36"/>
      <x:c r="F52" s="36"/>
      <x:c r="G52" s="40"/>
      <x:c r="H52" s="41"/>
      <x:c r="I52" s="42" t="str">
        <x:f>IF(OR(H52="",H51=""),"",ROUND((H52-H51)*86400,0))</x:f>
      </x:c>
      <x:c r="J52" s="36" t="str">
        <x:f>IF(I52="","",IF(AND(I52&gt;=120,I52&lt;=180),"Pass","Review"))</x:f>
      </x:c>
      <x:c r="K52" s="36" t="str">
        <x:f>IF(D52="","","https://stellar.expert/explorer/testnet/tx/"&amp;D52)</x:f>
      </x:c>
      <x:c r="L52" s="32" t="str">
        <x:v>Pending</x:v>
      </x:c>
    </x:row>
    <x:row r="53">
      <x:c r="A53" s="31" t="n">
        <x:f>ROW()-4</x:f>
        <x:v>49</x:v>
      </x:c>
      <x:c r="B53" s="36"/>
      <x:c r="C53" s="36"/>
      <x:c r="D53" s="36"/>
      <x:c r="E53" s="36"/>
      <x:c r="F53" s="36"/>
      <x:c r="G53" s="40"/>
      <x:c r="H53" s="41"/>
      <x:c r="I53" s="42" t="str">
        <x:f>IF(OR(H53="",H52=""),"",ROUND((H53-H52)*86400,0))</x:f>
      </x:c>
      <x:c r="J53" s="36" t="str">
        <x:f>IF(I53="","",IF(AND(I53&gt;=120,I53&lt;=180),"Pass","Review"))</x:f>
      </x:c>
      <x:c r="K53" s="36" t="str">
        <x:f>IF(D53="","","https://stellar.expert/explorer/testnet/tx/"&amp;D53)</x:f>
      </x:c>
      <x:c r="L53" s="32" t="str">
        <x:v>Pending</x:v>
      </x:c>
    </x:row>
    <x:row r="54">
      <x:c r="A54" s="34" t="n">
        <x:f>ROW()-4</x:f>
        <x:v>50</x:v>
      </x:c>
      <x:c r="B54" s="37"/>
      <x:c r="C54" s="37"/>
      <x:c r="D54" s="37"/>
      <x:c r="E54" s="37"/>
      <x:c r="F54" s="37"/>
      <x:c r="G54" s="43"/>
      <x:c r="H54" s="44"/>
      <x:c r="I54" s="45" t="str">
        <x:f>IF(OR(H54="",H53=""),"",ROUND((H54-H53)*86400,0))</x:f>
      </x:c>
      <x:c r="J54" s="37" t="str">
        <x:f>IF(I54="","",IF(AND(I54&gt;=120,I54&lt;=180),"Pass","Review"))</x:f>
      </x:c>
      <x:c r="K54" s="37" t="str">
        <x:f>IF(D54="","","https://stellar.expert/explorer/testnet/tx/"&amp;D54)</x:f>
      </x:c>
      <x:c r="L54" s="35" t="str">
        <x:v>Pending</x:v>
      </x:c>
    </x:row>
  </x:sheetData>
  <x:mergeCells>
    <x:mergeCell ref="A1:L1"/>
    <x:mergeCell ref="A2:L2"/>
  </x:mergeCells>
  <x:dataValidations count="1">
    <x:dataValidation type="list" sqref="L5:L54">
      <x:formula1>"Yes,No,Pending"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20.559999465942383" hidden="0" customWidth="1"/>
    <x:col min="3" max="3" width="20.559999465942383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34.439998626708984" hidden="0" customWidth="1"/>
    <x:col min="8" max="8" width="25.559999465942383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</x:cols>
  <x:sheetData>
    <x:row r="1" ht="32" customHeight="1">
      <x:c r="A1" s="29" t="str">
        <x:v>Level 5 Feedback &amp; Growth Dashboard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</x:row>
    <x:row r="3">
      <x:c r="A3" s="11" t="str">
        <x:v>Metric</x:v>
      </x:c>
      <x:c r="B3" s="13" t="str">
        <x:v>Live result</x:v>
      </x:c>
      <x:c r="C3" s="30"/>
      <x:c r="D3" s="11" t="str">
        <x:v>Rating</x:v>
      </x:c>
      <x:c r="E3" s="13" t="str">
        <x:v>Count</x:v>
      </x:c>
      <x:c r="F3" s="30"/>
      <x:c r="G3" s="30"/>
      <x:c r="H3" s="30"/>
      <x:c r="I3" s="30"/>
      <x:c r="J3" s="30"/>
      <x:c r="K3" s="30"/>
      <x:c r="L3" s="30"/>
      <x:c r="M3" s="30"/>
    </x:row>
    <x:row r="4">
      <x:c r="A4" s="31" t="str">
        <x:v>Responses entered</x:v>
      </x:c>
      <x:c r="B4" s="32" t="n">
        <x:f>COUNTA('Feedback Responses'!$A$5:$A$54)</x:f>
        <x:v>0</x:v>
      </x:c>
      <x:c r="C4" s="30"/>
      <x:c r="D4" s="31" t="n">
        <x:v>1</x:v>
      </x:c>
      <x:c r="E4" s="32" t="n">
        <x:f>COUNTIF('Feedback Responses'!$E$5:$E$54,D4)</x:f>
        <x:v>0</x:v>
      </x:c>
      <x:c r="F4" s="30"/>
      <x:c r="G4" s="30"/>
      <x:c r="H4" s="30"/>
      <x:c r="I4" s="30"/>
      <x:c r="J4" s="30"/>
      <x:c r="K4" s="30"/>
      <x:c r="L4" s="30"/>
      <x:c r="M4" s="30"/>
    </x:row>
    <x:row r="5">
      <x:c r="A5" s="31" t="str">
        <x:v>Average rating</x:v>
      </x:c>
      <x:c r="B5" s="33" t="n">
        <x:f>IFERROR(AVERAGE('Feedback Responses'!$E$5:$E$54),0)</x:f>
        <x:v>0</x:v>
      </x:c>
      <x:c r="C5" s="30"/>
      <x:c r="D5" s="31" t="n">
        <x:v>2</x:v>
      </x:c>
      <x:c r="E5" s="32" t="n">
        <x:f>COUNTIF('Feedback Responses'!$E$5:$E$54,D5)</x:f>
        <x:v>0</x:v>
      </x:c>
      <x:c r="F5" s="30"/>
      <x:c r="G5" s="30"/>
      <x:c r="H5" s="30"/>
      <x:c r="I5" s="30"/>
      <x:c r="J5" s="30"/>
      <x:c r="K5" s="30"/>
      <x:c r="L5" s="30"/>
      <x:c r="M5" s="30"/>
    </x:row>
    <x:row r="6">
      <x:c r="A6" s="31" t="str">
        <x:v>Consented responses</x:v>
      </x:c>
      <x:c r="B6" s="32" t="n">
        <x:f>COUNTIF('Feedback Responses'!$J$5:$J$54,"Yes")</x:f>
        <x:v>0</x:v>
      </x:c>
      <x:c r="C6" s="30"/>
      <x:c r="D6" s="31" t="n">
        <x:v>3</x:v>
      </x:c>
      <x:c r="E6" s="32" t="n">
        <x:f>COUNTIF('Feedback Responses'!$E$5:$E$54,D6)</x:f>
        <x:v>0</x:v>
      </x:c>
      <x:c r="F6" s="30"/>
      <x:c r="G6" s="30"/>
      <x:c r="H6" s="30"/>
      <x:c r="I6" s="30"/>
      <x:c r="J6" s="30"/>
      <x:c r="K6" s="30"/>
      <x:c r="L6" s="30"/>
      <x:c r="M6" s="30"/>
    </x:row>
    <x:row r="7">
      <x:c r="A7" s="31" t="str">
        <x:v>Transactions logged</x:v>
      </x:c>
      <x:c r="B7" s="32" t="n">
        <x:f>COUNTA('Interaction Log'!$D$5:$D$54)</x:f>
        <x:v>0</x:v>
      </x:c>
      <x:c r="C7" s="30"/>
      <x:c r="D7" s="31" t="n">
        <x:v>4</x:v>
      </x:c>
      <x:c r="E7" s="32" t="n">
        <x:f>COUNTIF('Feedback Responses'!$E$5:$E$54,D7)</x:f>
        <x:v>0</x:v>
      </x:c>
      <x:c r="F7" s="30"/>
      <x:c r="G7" s="30"/>
      <x:c r="H7" s="30"/>
      <x:c r="I7" s="30"/>
      <x:c r="J7" s="30"/>
      <x:c r="K7" s="30"/>
      <x:c r="L7" s="30"/>
      <x:c r="M7" s="30"/>
    </x:row>
    <x:row r="8">
      <x:c r="A8" s="34" t="str">
        <x:v>Verified transactions</x:v>
      </x:c>
      <x:c r="B8" s="35" t="n">
        <x:f>COUNTIF('Interaction Log'!$L$5:$L$54,"Yes")</x:f>
        <x:v>0</x:v>
      </x:c>
      <x:c r="C8" s="30"/>
      <x:c r="D8" s="31" t="n">
        <x:v>5</x:v>
      </x:c>
      <x:c r="E8" s="32" t="n">
        <x:f>COUNTIF('Feedback Responses'!$E$5:$E$54,D8)</x:f>
        <x:v>0</x:v>
      </x:c>
      <x:c r="F8" s="30"/>
      <x:c r="G8" s="30"/>
      <x:c r="H8" s="30"/>
      <x:c r="I8" s="30"/>
      <x:c r="J8" s="30"/>
      <x:c r="K8" s="30"/>
      <x:c r="L8" s="30"/>
      <x:c r="M8" s="30"/>
    </x:row>
    <x:row r="9">
      <x:c r="A9" s="30"/>
      <x:c r="B9" s="30"/>
      <x:c r="C9" s="30"/>
      <x:c r="D9" s="34" t="str">
        <x:v>Total</x:v>
      </x:c>
      <x:c r="E9" s="35" t="n">
        <x:f>SUM(E4:E8)</x:f>
        <x:v>0</x:v>
      </x:c>
      <x:c r="F9" s="30"/>
      <x:c r="G9" s="30"/>
      <x:c r="H9" s="30"/>
      <x:c r="I9" s="30"/>
      <x:c r="J9" s="30"/>
      <x:c r="K9" s="30"/>
      <x:c r="L9" s="30"/>
      <x:c r="M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</x:row>
    <x:row r="12">
      <x:c r="A12" s="29" t="str">
        <x:v>Iteration Decision Log</x:v>
      </x:c>
      <x:c r="B12" s="29"/>
      <x:c r="C12" s="29"/>
      <x:c r="D12" s="29"/>
      <x:c r="E12" s="29"/>
      <x:c r="F12" s="29"/>
      <x:c r="G12" s="29"/>
      <x:c r="H12" s="29"/>
      <x:c r="I12" s="30"/>
      <x:c r="J12" s="30"/>
      <x:c r="K12" s="30"/>
      <x:c r="L12" s="30"/>
      <x:c r="M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>
      <x:c r="A14" s="11" t="str">
        <x:v>Feedback Theme</x:v>
      </x:c>
      <x:c r="B14" s="12" t="str">
        <x:v>Evidence / Count</x:v>
      </x:c>
      <x:c r="C14" s="12" t="str">
        <x:v>Product Decision</x:v>
      </x:c>
      <x:c r="D14" s="12" t="str">
        <x:v>Priority</x:v>
      </x:c>
      <x:c r="E14" s="12" t="str">
        <x:v>Owner</x:v>
      </x:c>
      <x:c r="F14" s="12" t="str">
        <x:v>Status</x:v>
      </x:c>
      <x:c r="G14" s="12" t="str">
        <x:v>Commit Link</x:v>
      </x:c>
      <x:c r="H14" s="13" t="str">
        <x:v>Notes</x:v>
      </x:c>
      <x:c r="I14" s="30"/>
      <x:c r="J14" s="30"/>
      <x:c r="K14" s="30"/>
      <x:c r="L14" s="30"/>
      <x:c r="M14" s="30"/>
    </x:row>
    <x:row r="15" ht="61.5" customHeight="1">
      <x:c r="A15" s="31" t="str">
        <x:v>Onboarding clarity and proof</x:v>
      </x:c>
      <x:c r="B15" s="36" t="str">
        <x:v>Prior reviewer feedback</x:v>
      </x:c>
      <x:c r="C15" s="36" t="str">
        <x:v>Ship watch-only access and Activity Proof</x:v>
      </x:c>
      <x:c r="D15" s="36" t="str">
        <x:v>High</x:v>
      </x:c>
      <x:c r="E15" s="36" t="str">
        <x:v>Om12345-ingle</x:v>
      </x:c>
      <x:c r="F15" s="36" t="str">
        <x:v>Released</x:v>
      </x:c>
      <x:c r="G15" s="36" t="str">
        <x:v>https://github.com/Om12345-ingle/ai-wallet-manager/commit/e86dd17</x:v>
      </x:c>
      <x:c r="H15" s="32" t="str">
        <x:v>Validate again during the genuine 50-wallet study</x:v>
      </x:c>
      <x:c r="I15" s="30"/>
      <x:c r="J15" s="30"/>
      <x:c r="K15" s="30"/>
      <x:c r="L15" s="30"/>
      <x:c r="M15" s="30"/>
    </x:row>
    <x:row r="16">
      <x:c r="A16" s="31"/>
      <x:c r="B16" s="36"/>
      <x:c r="C16" s="36"/>
      <x:c r="D16" s="36"/>
      <x:c r="E16" s="36"/>
      <x:c r="F16" s="36"/>
      <x:c r="G16" s="36"/>
      <x:c r="H16" s="32"/>
      <x:c r="I16" s="30"/>
      <x:c r="J16" s="30"/>
      <x:c r="K16" s="30"/>
      <x:c r="L16" s="30"/>
      <x:c r="M16" s="30"/>
    </x:row>
    <x:row r="17">
      <x:c r="A17" s="31"/>
      <x:c r="B17" s="36"/>
      <x:c r="C17" s="36"/>
      <x:c r="D17" s="36"/>
      <x:c r="E17" s="36"/>
      <x:c r="F17" s="36"/>
      <x:c r="G17" s="36"/>
      <x:c r="H17" s="32"/>
      <x:c r="I17" s="30"/>
      <x:c r="J17" s="30"/>
      <x:c r="K17" s="30"/>
      <x:c r="L17" s="30"/>
      <x:c r="M17" s="30"/>
    </x:row>
    <x:row r="18">
      <x:c r="A18" s="31"/>
      <x:c r="B18" s="36"/>
      <x:c r="C18" s="36"/>
      <x:c r="D18" s="36"/>
      <x:c r="E18" s="36"/>
      <x:c r="F18" s="36"/>
      <x:c r="G18" s="36"/>
      <x:c r="H18" s="32"/>
      <x:c r="I18" s="30"/>
      <x:c r="J18" s="30"/>
      <x:c r="K18" s="30"/>
      <x:c r="L18" s="30"/>
      <x:c r="M18" s="30"/>
    </x:row>
    <x:row r="19">
      <x:c r="A19" s="31"/>
      <x:c r="B19" s="36"/>
      <x:c r="C19" s="36"/>
      <x:c r="D19" s="36"/>
      <x:c r="E19" s="36"/>
      <x:c r="F19" s="36"/>
      <x:c r="G19" s="36"/>
      <x:c r="H19" s="32"/>
      <x:c r="I19" s="30"/>
      <x:c r="J19" s="30"/>
      <x:c r="K19" s="30"/>
      <x:c r="L19" s="30"/>
      <x:c r="M19" s="30"/>
    </x:row>
    <x:row r="20">
      <x:c r="A20" s="31"/>
      <x:c r="B20" s="36"/>
      <x:c r="C20" s="36"/>
      <x:c r="D20" s="36"/>
      <x:c r="E20" s="36"/>
      <x:c r="F20" s="36"/>
      <x:c r="G20" s="36"/>
      <x:c r="H20" s="32"/>
      <x:c r="I20" s="30"/>
      <x:c r="J20" s="30"/>
      <x:c r="K20" s="30"/>
      <x:c r="L20" s="30"/>
      <x:c r="M20" s="30"/>
    </x:row>
    <x:row r="21">
      <x:c r="A21" s="31"/>
      <x:c r="B21" s="36"/>
      <x:c r="C21" s="36"/>
      <x:c r="D21" s="36"/>
      <x:c r="E21" s="36"/>
      <x:c r="F21" s="36"/>
      <x:c r="G21" s="36"/>
      <x:c r="H21" s="32"/>
      <x:c r="I21" s="30"/>
      <x:c r="J21" s="30"/>
      <x:c r="K21" s="30"/>
      <x:c r="L21" s="30"/>
      <x:c r="M21" s="30"/>
    </x:row>
    <x:row r="22">
      <x:c r="A22" s="31"/>
      <x:c r="B22" s="36"/>
      <x:c r="C22" s="36"/>
      <x:c r="D22" s="36"/>
      <x:c r="E22" s="36"/>
      <x:c r="F22" s="36"/>
      <x:c r="G22" s="36"/>
      <x:c r="H22" s="32"/>
      <x:c r="I22" s="30"/>
      <x:c r="J22" s="30"/>
      <x:c r="K22" s="30"/>
      <x:c r="L22" s="30"/>
      <x:c r="M22" s="30"/>
    </x:row>
    <x:row r="23">
      <x:c r="A23" s="31"/>
      <x:c r="B23" s="36"/>
      <x:c r="C23" s="36"/>
      <x:c r="D23" s="36"/>
      <x:c r="E23" s="36"/>
      <x:c r="F23" s="36"/>
      <x:c r="G23" s="36"/>
      <x:c r="H23" s="32"/>
      <x:c r="I23" s="30"/>
      <x:c r="J23" s="30"/>
      <x:c r="K23" s="30"/>
      <x:c r="L23" s="30"/>
      <x:c r="M23" s="30"/>
    </x:row>
    <x:row r="24">
      <x:c r="A24" s="34"/>
      <x:c r="B24" s="37"/>
      <x:c r="C24" s="37"/>
      <x:c r="D24" s="37"/>
      <x:c r="E24" s="37"/>
      <x:c r="F24" s="37"/>
      <x:c r="G24" s="37"/>
      <x:c r="H24" s="35"/>
      <x:c r="I24" s="30"/>
      <x:c r="J24" s="30"/>
      <x:c r="K24" s="30"/>
      <x:c r="L24" s="30"/>
      <x:c r="M24" s="30"/>
    </x:row>
  </x:sheetData>
  <x:mergeCells>
    <x:mergeCell ref="A1:M1"/>
    <x:mergeCell ref="A12:H12"/>
  </x:mergeCells>
  <x:dataValidations count="2">
    <x:dataValidation type="list" sqref="D15:D24">
      <x:formula1>"High,Medium,Low"</x:formula1>
    </x:dataValidation>
    <x:dataValidation type="list" sqref="F15:F24">
      <x:formula1>"Planned,In Progress,Released"</x:formula1>
    </x:dataValidation>
  </x:dataValidations>
  <x:pageMargins left="0.7" right="0.7" top="0.75" bottom="0.75" header="0.3" footer="0.3"/>
  <x:drawing xmlns:r="http://schemas.openxmlformats.org/officeDocument/2006/relationships" r:id="Radee7425512a47ad"/>
</x:worksheet>
</file>